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64aba5851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blik" sheetId="1" r:id="R5301e19156314ea8"/>
    <x:sheet xmlns:r="http://schemas.openxmlformats.org/officeDocument/2006/relationships" name="Product Backlog" sheetId="2" r:id="R6eb904993d2146a3"/>
    <x:sheet xmlns:r="http://schemas.openxmlformats.org/officeDocument/2006/relationships" name="Testoversigt" sheetId="3" r:id="R56665c7c77004f37"/>
    <x:sheet xmlns:r="http://schemas.openxmlformats.org/officeDocument/2006/relationships" name="DoD og rettelser" sheetId="4" r:id="R3d0cec9a6480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254C70"/>
      <x:name val="Carlito"/>
    </x:font>
    <x:font>
      <x:sz val="10"/>
      <x:color rgb="FF54667B"/>
      <x:name val="Carlito"/>
    </x:font>
    <x:font>
      <x:b/>
      <x:sz val="10"/>
      <x:color rgb="FFFFFFFF"/>
      <x:name val="Carlito"/>
    </x:font>
    <x:font>
      <x:sz val="10"/>
      <x:color rgb="FF173047"/>
      <x:name val="Carlito"/>
    </x:font>
    <x:font>
      <x:b/>
      <x:sz val="10"/>
      <x:color rgb="FF173047"/>
      <x:name val="Carlito"/>
    </x:font>
    <x:font>
      <x:b/>
      <x:sz val="10"/>
      <x:color rgb="FF254C70"/>
      <x:name val="Carlito"/>
    </x:font>
    <x:font>
      <x:sz val="10"/>
      <x:color rgb="FF855C06"/>
      <x:name val="Carlito"/>
    </x:font>
    <x:font>
      <x:sz val="10"/>
      <x:color rgb="FF206145"/>
      <x:name val="Carlito"/>
    </x:font>
    <x:font>
      <x:sz val="11"/>
      <x:color rgb="FF173047"/>
      <x:name val="Carlito"/>
    </x:font>
    <x:font>
      <x:b/>
      <x:sz val="11"/>
      <x:color rgb="FFFFFFFF"/>
      <x:name val="Carlito"/>
    </x:font>
    <x:font>
      <x:b/>
      <x:sz val="11"/>
      <x:color rgb="FF173047"/>
      <x:name val="Carlito"/>
    </x:font>
    <x:font>
      <x:b/>
      <x:sz val="11"/>
      <x:color rgb="FF137D8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A44"/>
      </x:patternFill>
    </x:fill>
    <x:fill>
      <x:patternFill patternType="solid">
        <x:fgColor rgb="FFE9F3F5"/>
      </x:patternFill>
    </x:fill>
    <x:fill>
      <x:patternFill patternType="solid">
        <x:fgColor rgb="FF254C70"/>
      </x:patternFill>
    </x:fill>
    <x:fill>
      <x:patternFill patternType="solid">
        <x:fgColor rgb="FFF3F7FB"/>
      </x:patternFill>
    </x:fill>
    <x:fill>
      <x:patternFill patternType="solid">
        <x:fgColor rgb="FFFFF1D1"/>
      </x:patternFill>
    </x:fill>
    <x:fill>
      <x:patternFill patternType="solid">
        <x:fgColor rgb="FFEEF1F4"/>
      </x:patternFill>
    </x:fill>
    <x:fill>
      <x:patternFill patternType="solid">
        <x:fgColor rgb="FFE3F3E8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2" fillId="5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5" borderId="0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 applyAlignment="1">
      <x:alignment horizontal="center" vertical="center"/>
    </x:xf>
    <x:xf numFmtId="0" fontId="13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c17b19ac54db4" /><Relationship Type="http://schemas.openxmlformats.org/officeDocument/2006/relationships/theme" Target="/xl/theme/theme1.xml" Id="R11d52bdafad84fa7" /><Relationship Type="http://schemas.openxmlformats.org/officeDocument/2006/relationships/sharedStrings" Target="/xl/sharedStrings.xml" Id="R003c84f8f9504c06" /><Relationship Type="http://schemas.openxmlformats.org/officeDocument/2006/relationships/worksheet" Target="/xl/worksheets/sheet1.xml" Id="R5301e19156314ea8" /><Relationship Type="http://schemas.openxmlformats.org/officeDocument/2006/relationships/worksheet" Target="/xl/worksheets/sheet2.xml" Id="R6eb904993d2146a3" /><Relationship Type="http://schemas.openxmlformats.org/officeDocument/2006/relationships/worksheet" Target="/xl/worksheets/sheet3.xml" Id="R56665c7c77004f37" /><Relationship Type="http://schemas.openxmlformats.org/officeDocument/2006/relationships/worksheet" Target="/xl/worksheets/sheet4.xml" Id="R3d0cec9a648040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8" hidden="0" customWidth="1"/>
    <x:col min="3" max="3" width="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4" t="str">
        <x:v>SCRUM  |  PROJEKTOVERBLIK</x:v>
      </x:c>
      <x:c r="B1" s="4"/>
      <x:c r="C1" s="4"/>
      <x:c r="D1" s="4"/>
      <x:c r="E1" s="4"/>
      <x:c r="F1" s="4"/>
      <x:c r="G1" s="4"/>
      <x:c r="H1" s="4"/>
    </x:row>
    <x:row r="2" ht="26" customHeight="1">
      <x:c r="A2" s="4"/>
      <x:c r="B2" s="4"/>
      <x:c r="C2" s="4"/>
      <x:c r="D2" s="4"/>
      <x:c r="E2" s="4"/>
      <x:c r="F2" s="4"/>
      <x:c r="G2" s="4"/>
      <x:c r="H2" s="4"/>
    </x:row>
    <x:row r="3" ht="30" customHeight="1">
      <x:c r="A3" s="11" t="str">
        <x:v>De Lyserøde Spejdere · 2. semester · projektperiode 19.–30. oktober 2026 · samlet dokumentationsstatus pr. 27. oktober 2026</x:v>
      </x:c>
      <x:c r="B3" s="11"/>
      <x:c r="C3" s="11"/>
      <x:c r="D3" s="11"/>
      <x:c r="E3" s="11"/>
      <x:c r="F3" s="11"/>
      <x:c r="G3" s="11"/>
      <x:c r="H3" s="11"/>
    </x:row>
    <x:row r="5" ht="30" customHeight="1">
      <x:c r="A5" s="68" t="str">
        <x:v>NØGLETAL</x:v>
      </x:c>
      <x:c r="B5" s="68"/>
      <x:c r="C5" s="68"/>
      <x:c r="D5" s="68" t="str">
        <x:v>HVAD BETYDER STATUS?</x:v>
      </x:c>
      <x:c r="E5" s="68"/>
      <x:c r="F5" s="68"/>
      <x:c r="G5" s="68"/>
      <x:c r="H5" s="68"/>
    </x:row>
    <x:row r="7" ht="28" customHeight="1">
      <x:c r="A7" s="71" t="str">
        <x:v>User stories i alt</x:v>
      </x:c>
      <x:c r="B7" s="84" t="n">
        <x:f>COUNTA('Product Backlog'!A7:A15)</x:f>
        <x:v>9</x:v>
      </x:c>
      <x:c r="C7" s="71"/>
      <x:c r="D7" s="88" t="str">
        <x:v>8 user stories er implementeret og grundtestet. De er IKKE markeret 'Done', før alle DoD-krav er verificeret.</x:v>
      </x:c>
      <x:c r="E7" s="88"/>
      <x:c r="F7" s="88"/>
      <x:c r="G7" s="88"/>
      <x:c r="H7" s="88"/>
    </x:row>
    <x:row r="8" ht="28" customHeight="1">
      <x:c r="A8" s="74" t="str">
        <x:v>Implementeret – afventer DoD</x:v>
      </x:c>
      <x:c r="B8" s="85" t="n">
        <x:f>COUNTIF('Product Backlog'!F7:F15,"Implementeret – afventer DoD")</x:f>
        <x:v>8</x:v>
      </x:c>
      <x:c r="C8" s="74"/>
      <x:c r="D8" s="88"/>
      <x:c r="E8" s="88"/>
      <x:c r="F8" s="88"/>
      <x:c r="G8" s="88"/>
      <x:c r="H8" s="88"/>
    </x:row>
    <x:row r="9" ht="28" customHeight="1">
      <x:c r="A9" s="71" t="str">
        <x:v>Ikke implementeret</x:v>
      </x:c>
      <x:c r="B9" s="84" t="n">
        <x:f>COUNTIF('Product Backlog'!F7:F15,"Ikke implementeret")</x:f>
        <x:v>1</x:v>
      </x:c>
      <x:c r="C9" s="71"/>
      <x:c r="D9" s="34" t="str">
        <x:v>US-09 (flere ledere pr. aktivitet) er ikke implementeret og forbliver i Product Backlog.</x:v>
      </x:c>
      <x:c r="E9" s="34"/>
      <x:c r="F9" s="34"/>
      <x:c r="G9" s="34"/>
      <x:c r="H9" s="34"/>
    </x:row>
    <x:row r="10" ht="28" customHeight="1">
      <x:c r="A10" s="74" t="str">
        <x:v>Story points i alt</x:v>
      </x:c>
      <x:c r="B10" s="85" t="n">
        <x:f>SUM('Product Backlog'!D7:D15)</x:f>
        <x:v>31</x:v>
      </x:c>
      <x:c r="C10" s="74"/>
      <x:c r="D10" s="34"/>
      <x:c r="E10" s="34"/>
      <x:c r="F10" s="34"/>
      <x:c r="G10" s="34"/>
      <x:c r="H10" s="34"/>
    </x:row>
    <x:row r="11" ht="28" customHeight="1">
      <x:c r="A11" s="71" t="str">
        <x:v>Story points implementeret</x:v>
      </x:c>
      <x:c r="B11" s="84" t="n">
        <x:f>SUMIF('Product Backlog'!F7:F15,"Implementeret – afventer DoD",'Product Backlog'!D7:D15)</x:f>
        <x:v>26</x:v>
      </x:c>
      <x:c r="C11" s="71"/>
      <x:c r="D11" s="88" t="str">
        <x:v>T07 og T10 er kun delvist testet: fuldt dubletflow og brugerisolation bør gentestes.</x:v>
      </x:c>
      <x:c r="E11" s="88"/>
      <x:c r="F11" s="88"/>
      <x:c r="G11" s="88"/>
      <x:c r="H11" s="88"/>
    </x:row>
    <x:row r="12" ht="28" customHeight="1">
      <x:c r="A12" s="74" t="str">
        <x:v>Funktionelle tests bestået</x:v>
      </x:c>
      <x:c r="B12" s="85" t="n">
        <x:f>COUNTIF(Testoversigt!D7:D20,"Bestået")</x:f>
        <x:v>12</x:v>
      </x:c>
      <x:c r="C12" s="74"/>
      <x:c r="D12" s="88"/>
      <x:c r="E12" s="88"/>
      <x:c r="F12" s="88"/>
      <x:c r="G12" s="88"/>
      <x:c r="H12" s="88"/>
    </x:row>
    <x:row r="13" ht="28" customHeight="1">
      <x:c r="A13" s="71" t="str">
        <x:v>Funktionelle tests delvist</x:v>
      </x:c>
      <x:c r="B13" s="84" t="n">
        <x:f>COUNTIF(Testoversigt!D7:D20,"Delvist bestået")</x:f>
        <x:v>2</x:v>
      </x:c>
      <x:c r="C13" s="71"/>
      <x:c r="D13" s="34" t="str">
        <x:v>Code Review kræver godkendelse fra en anden person. UX-01 er rettet og lokalt afprøvet, ikke gentestet af alle tre testpersoner.</x:v>
      </x:c>
      <x:c r="E13" s="34"/>
      <x:c r="F13" s="34"/>
      <x:c r="G13" s="34"/>
      <x:c r="H13" s="34"/>
    </x:row>
    <x:row r="14" ht="28" customHeight="1">
      <x:c r="A14" s="74" t="str">
        <x:v>Unit tests (sidst oplyst)</x:v>
      </x:c>
      <x:c r="B14" s="85" t="str">
        <x:v>9/9</x:v>
      </x:c>
      <x:c r="C14" s="74"/>
      <x:c r="D14" s="34"/>
      <x:c r="E14" s="34"/>
      <x:c r="F14" s="34"/>
      <x:c r="G14" s="34"/>
      <x:c r="H14" s="34"/>
    </x:row>
    <x:row r="17" ht="28" customHeight="1">
      <x:c r="A17" s="68" t="str">
        <x:v>SÅDAN BRUGER DU FILEN</x:v>
      </x:c>
      <x:c r="B17" s="68"/>
      <x:c r="C17" s="68"/>
      <x:c r="D17" s="68"/>
      <x:c r="E17" s="68"/>
      <x:c r="F17" s="68"/>
      <x:c r="G17" s="68"/>
      <x:c r="H17" s="68"/>
    </x:row>
    <x:row r="18" ht="28" customHeight="1">
      <x:c r="A18" s="29" t="str">
        <x:v>1. Product Backlog: Funktioner, prioritering, planlagt sprint og status — én række pr. user story.</x:v>
      </x:c>
      <x:c r="B18" s="29"/>
      <x:c r="C18" s="29"/>
      <x:c r="D18" s="29"/>
      <x:c r="E18" s="29"/>
      <x:c r="F18" s="29"/>
      <x:c r="G18" s="29"/>
      <x:c r="H18" s="29"/>
    </x:row>
    <x:row r="19" ht="28" customHeight="1">
      <x:c r="A19" s="29" t="str">
        <x:v>2. Testoversigt: Resultat af T01–T14, inklusive de to tests der kun er delvist gennemført.</x:v>
      </x:c>
      <x:c r="B19" s="29"/>
      <x:c r="C19" s="29"/>
      <x:c r="D19" s="29"/>
      <x:c r="E19" s="29"/>
      <x:c r="F19" s="29"/>
      <x:c r="G19" s="29"/>
      <x:c r="H19" s="29"/>
    </x:row>
    <x:row r="20" ht="28" customHeight="1">
      <x:c r="A20" s="29" t="str">
        <x:v>3. DoD og rettelser: Ni officielle DoD-kriterier samt CR-01, CR-02 og UX-01.</x:v>
      </x:c>
      <x:c r="B20" s="29"/>
      <x:c r="C20" s="29"/>
      <x:c r="D20" s="29"/>
      <x:c r="E20" s="29"/>
      <x:c r="F20" s="29"/>
      <x:c r="G20" s="29"/>
      <x:c r="H20" s="29"/>
    </x:row>
    <x:row r="22" ht="40" customHeight="1">
      <x:c r="A22" s="17" t="str">
        <x:v>Kildegrundlag: tidligere Product Backlog, SCRUM-projektplan og de afprøvninger/rettelser, du har oplyst. Ingen ikke-afholdte møder eller uafhængige godkendelser er påstået.</x:v>
      </x:c>
      <x:c r="B22" s="17"/>
      <x:c r="C22" s="17"/>
      <x:c r="D22" s="17"/>
      <x:c r="E22" s="17"/>
      <x:c r="F22" s="17"/>
      <x:c r="G22" s="17"/>
      <x:c r="H22" s="17"/>
    </x:row>
  </x:sheetData>
  <x:mergeCells>
    <x:mergeCell ref="A1:H2"/>
    <x:mergeCell ref="A3:H3"/>
    <x:mergeCell ref="A5:C5"/>
    <x:mergeCell ref="D5:H5"/>
    <x:mergeCell ref="D7:H8"/>
    <x:mergeCell ref="D9:H10"/>
    <x:mergeCell ref="D11:H12"/>
    <x:mergeCell ref="D13:H14"/>
    <x:mergeCell ref="A17:H17"/>
    <x:mergeCell ref="A18:H18"/>
    <x:mergeCell ref="A19:H19"/>
    <x:mergeCell ref="A20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13" hidden="0" customWidth="1"/>
    <x:col min="4" max="4" width="8" hidden="0" customWidth="1"/>
    <x:col min="5" max="5" width="21" hidden="0" customWidth="1"/>
    <x:col min="6" max="6" width="30" hidden="0" customWidth="1"/>
    <x:col min="7" max="7" width="27" hidden="0" customWidth="1"/>
    <x:col min="8" max="8" width="69" hidden="0" customWidth="1"/>
    <x:col min="9" max="9" width="55" hidden="0" customWidth="1"/>
  </x:cols>
  <x:sheetData>
    <x:row r="1" ht="26" customHeight="1">
      <x:c r="A1" s="4" t="str">
        <x:v>PRODUCT BACKLOG  |  De Lyserøde Spejdere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0" customHeight="1">
      <x:c r="A3" s="11" t="str">
        <x:v>9 user stories · 8 funktionelt implementeret · ingen markeret Done, fordi projektets samlede DoD endnu ikke er godkendt.</x:v>
      </x:c>
      <x:c r="B3" s="11"/>
      <x:c r="C3" s="11"/>
      <x:c r="D3" s="11"/>
      <x:c r="E3" s="11"/>
      <x:c r="F3" s="11"/>
      <x:c r="G3" s="11"/>
      <x:c r="H3" s="11"/>
      <x:c r="I3" s="11"/>
    </x:row>
    <x:row r="4" ht="30" customHeight="1">
      <x:c r="A4" s="17" t="str">
        <x:v>Sprint = planlagt placering. 'Ekstra' og 'reserve' er scopeændringer — ikke påstande om afholdte sprintmøder. Status er observeret implementering.</x:v>
      </x:c>
      <x:c r="B4" s="17"/>
      <x:c r="C4" s="17"/>
      <x:c r="D4" s="17"/>
      <x:c r="E4" s="17"/>
      <x:c r="F4" s="17"/>
      <x:c r="G4" s="17"/>
      <x:c r="H4" s="17"/>
      <x:c r="I4" s="17"/>
    </x:row>
    <x:row r="6" ht="32" customHeight="1">
      <x:c r="A6" s="23" t="str">
        <x:v>ID</x:v>
      </x:c>
      <x:c r="B6" s="23" t="str">
        <x:v>Funktion</x:v>
      </x:c>
      <x:c r="C6" s="23" t="str">
        <x:v>Prioritet</x:v>
      </x:c>
      <x:c r="D6" s="23" t="str">
        <x:v>SP</x:v>
      </x:c>
      <x:c r="E6" s="23" t="str">
        <x:v>Plan / scope</x:v>
      </x:c>
      <x:c r="F6" s="23" t="str">
        <x:v>Udviklingsstatus</x:v>
      </x:c>
      <x:c r="G6" s="23" t="str">
        <x:v>Testreference</x:v>
      </x:c>
      <x:c r="H6" s="23" t="str">
        <x:v>User story</x:v>
      </x:c>
      <x:c r="I6" s="23" t="str">
        <x:v>Status / næste kontrol</x:v>
      </x:c>
    </x:row>
    <x:row r="7" ht="66" customHeight="1">
      <x:c r="A7" s="40" t="str">
        <x:v>US-01</x:v>
      </x:c>
      <x:c r="B7" s="30" t="str">
        <x:v>Aktivitetsoversigt</x:v>
      </x:c>
      <x:c r="C7" s="30" t="str">
        <x:v>Høj</x:v>
      </x:c>
      <x:c r="D7" s="44" t="n">
        <x:v>2</x:v>
      </x:c>
      <x:c r="E7" s="30" t="str">
        <x:v>Sprint 1</x:v>
      </x:c>
      <x:c r="F7" s="50" t="str">
        <x:v>Implementeret – afventer DoD</x:v>
      </x:c>
      <x:c r="G7" s="30" t="str">
        <x:v>T01 · Bestået</x:v>
      </x:c>
      <x:c r="H7" s="30" t="str">
        <x:v>Som spejder vil jeg kunne se lejrens aktiviteter, så jeg kan vælge, hvad jeg gerne vil deltage i.</x:v>
      </x:c>
      <x:c r="I7" s="30" t="str">
        <x:v>Funktion testet. Afventer projektets samlede DoD.</x:v>
      </x:c>
    </x:row>
    <x:row r="8" ht="66" customHeight="1">
      <x:c r="A8" s="41" t="str">
        <x:v>US-02</x:v>
      </x:c>
      <x:c r="B8" s="34" t="str">
        <x:v>Login og roller</x:v>
      </x:c>
      <x:c r="C8" s="34" t="str">
        <x:v>Høj</x:v>
      </x:c>
      <x:c r="D8" s="45" t="n">
        <x:v>5</x:v>
      </x:c>
      <x:c r="E8" s="34" t="str">
        <x:v>Sprint 1</x:v>
      </x:c>
      <x:c r="F8" s="50" t="str">
        <x:v>Implementeret – afventer DoD</x:v>
      </x:c>
      <x:c r="G8" s="34" t="str">
        <x:v>T02, T03, T12 · Bestået</x:v>
      </x:c>
      <x:c r="H8" s="34" t="str">
        <x:v>Som bruger vil jeg kunne logge ind som spejder eller leder, så jeg kun får adgang til mine egne funktioner.</x:v>
      </x:c>
      <x:c r="I8" s="34" t="str">
        <x:v>Login og rollebeskyttelse afprøvet.</x:v>
      </x:c>
    </x:row>
    <x:row r="9" ht="66" customHeight="1">
      <x:c r="A9" s="40" t="str">
        <x:v>US-03</x:v>
      </x:c>
      <x:c r="B9" s="30" t="str">
        <x:v>Opret aktivitet</x:v>
      </x:c>
      <x:c r="C9" s="30" t="str">
        <x:v>Høj</x:v>
      </x:c>
      <x:c r="D9" s="44" t="n">
        <x:v>3</x:v>
      </x:c>
      <x:c r="E9" s="30" t="str">
        <x:v>Sprint 1</x:v>
      </x:c>
      <x:c r="F9" s="50" t="str">
        <x:v>Implementeret – afventer DoD</x:v>
      </x:c>
      <x:c r="G9" s="30" t="str">
        <x:v>T04, T05 · Bestået</x:v>
      </x:c>
      <x:c r="H9" s="30" t="str">
        <x:v>Som leder vil jeg kunne oprette aktiviteter, så spejdere kan tilmelde sig dem.</x:v>
      </x:c>
      <x:c r="I9" s="30" t="str">
        <x:v>Dato og 24-timers klokkeslæt rettet (UX-01); lokalt afprøvet.</x:v>
      </x:c>
    </x:row>
    <x:row r="10" ht="66" customHeight="1">
      <x:c r="A10" s="41" t="str">
        <x:v>US-04</x:v>
      </x:c>
      <x:c r="B10" s="34" t="str">
        <x:v>Tilmelding</x:v>
      </x:c>
      <x:c r="C10" s="34" t="str">
        <x:v>Høj</x:v>
      </x:c>
      <x:c r="D10" s="45" t="n">
        <x:v>5</x:v>
      </x:c>
      <x:c r="E10" s="34" t="str">
        <x:v>Sprint 2</x:v>
      </x:c>
      <x:c r="F10" s="50" t="str">
        <x:v>Implementeret – afventer DoD</x:v>
      </x:c>
      <x:c r="G10" s="34" t="str">
        <x:v>T06, T08, T09 bestået; T07 delvis</x:v>
      </x:c>
      <x:c r="H10" s="34" t="str">
        <x:v>Som spejder vil jeg kunne tilmelde mig en aktivitet, så jeg kan deltage i den.</x:v>
      </x:c>
      <x:c r="I10" s="34" t="str">
        <x:v>Dobbelt tilmelding afvist i MySQL; samlet C#-flow mangler særskilt test.</x:v>
      </x:c>
    </x:row>
    <x:row r="11" ht="66" customHeight="1">
      <x:c r="A11" s="40" t="str">
        <x:v>US-05</x:v>
      </x:c>
      <x:c r="B11" s="30" t="str">
        <x:v>Mine tilmeldinger</x:v>
      </x:c>
      <x:c r="C11" s="30" t="str">
        <x:v>Høj</x:v>
      </x:c>
      <x:c r="D11" s="44" t="n">
        <x:v>3</x:v>
      </x:c>
      <x:c r="E11" s="30" t="str">
        <x:v>Sprint 2</x:v>
      </x:c>
      <x:c r="F11" s="50" t="str">
        <x:v>Implementeret – afventer DoD</x:v>
      </x:c>
      <x:c r="G11" s="30" t="str">
        <x:v>T10 · Delvist bestået</x:v>
      </x:c>
      <x:c r="H11" s="30" t="str">
        <x:v>Som spejder vil jeg kunne se mine tilmeldinger, så jeg har overblik over lejrens program.</x:v>
      </x:c>
      <x:c r="I11" s="30" t="str">
        <x:v>Visning testet; isolation mellem to forskellige brugere bør gentestes.</x:v>
      </x:c>
    </x:row>
    <x:row r="12" ht="66" customHeight="1">
      <x:c r="A12" s="41" t="str">
        <x:v>US-06</x:v>
      </x:c>
      <x:c r="B12" s="34" t="str">
        <x:v>Framelding</x:v>
      </x:c>
      <x:c r="C12" s="34" t="str">
        <x:v>Mellem</x:v>
      </x:c>
      <x:c r="D12" s="45" t="n">
        <x:v>2</x:v>
      </x:c>
      <x:c r="E12" s="34" t="str">
        <x:v>Sprint 2 · reserve</x:v>
      </x:c>
      <x:c r="F12" s="50" t="str">
        <x:v>Implementeret – afventer DoD</x:v>
      </x:c>
      <x:c r="G12" s="34" t="str">
        <x:v>T11 · Bestået</x:v>
      </x:c>
      <x:c r="H12" s="34" t="str">
        <x:v>Som spejder vil jeg kunne framelde mig en aktivitet, så min plads frigives til andre.</x:v>
      </x:c>
      <x:c r="I12" s="34" t="str">
        <x:v>Framelding og frigivelse af plads afprøvet.</x:v>
      </x:c>
    </x:row>
    <x:row r="13" ht="66" customHeight="1">
      <x:c r="A13" s="40" t="str">
        <x:v>US-07</x:v>
      </x:c>
      <x:c r="B13" s="30" t="str">
        <x:v>Ændre og slette aktiviteter</x:v>
      </x:c>
      <x:c r="C13" s="30" t="str">
        <x:v>Mellem</x:v>
      </x:c>
      <x:c r="D13" s="44" t="n">
        <x:v>3</x:v>
      </x:c>
      <x:c r="E13" s="30" t="str">
        <x:v>Sprint 2 · ekstra</x:v>
      </x:c>
      <x:c r="F13" s="50" t="str">
        <x:v>Implementeret – afventer DoD</x:v>
      </x:c>
      <x:c r="G13" s="30" t="str">
        <x:v>T14 · Bestået</x:v>
      </x:c>
      <x:c r="H13" s="30" t="str">
        <x:v>Som leder vil jeg kunne ændre og nedlægge aktiviteter, så programmet forbliver aktuelt.</x:v>
      </x:c>
      <x:c r="I13" s="30" t="str">
        <x:v>Redigering/sletning afprøvet. 24-timersfelter i Edit lokalt afprøvet.</x:v>
      </x:c>
    </x:row>
    <x:row r="14" ht="66" customHeight="1">
      <x:c r="A14" s="41" t="str">
        <x:v>US-08</x:v>
      </x:c>
      <x:c r="B14" s="34" t="str">
        <x:v>Deltagerliste</x:v>
      </x:c>
      <x:c r="C14" s="34" t="str">
        <x:v>Mellem</x:v>
      </x:c>
      <x:c r="D14" s="45" t="n">
        <x:v>3</x:v>
      </x:c>
      <x:c r="E14" s="34" t="str">
        <x:v>Sprint 2 · ekstra</x:v>
      </x:c>
      <x:c r="F14" s="50" t="str">
        <x:v>Implementeret – afventer DoD</x:v>
      </x:c>
      <x:c r="G14" s="34" t="str">
        <x:v>T13 · Bestået</x:v>
      </x:c>
      <x:c r="H14" s="34" t="str">
        <x:v>Som leder vil jeg kunne se deltagere til en aktivitet, så jeg kan planlægge afviklingen.</x:v>
      </x:c>
      <x:c r="I14" s="34" t="str">
        <x:v>Deltagerliste afprøvet.</x:v>
      </x:c>
    </x:row>
    <x:row r="15" ht="66" customHeight="1">
      <x:c r="A15" s="40" t="str">
        <x:v>US-09</x:v>
      </x:c>
      <x:c r="B15" s="30" t="str">
        <x:v>Flere ledere pr. aktivitet</x:v>
      </x:c>
      <x:c r="C15" s="30" t="str">
        <x:v>Lav</x:v>
      </x:c>
      <x:c r="D15" s="44" t="n">
        <x:v>5</x:v>
      </x:c>
      <x:c r="E15" s="30" t="str">
        <x:v>Product Backlog</x:v>
      </x:c>
      <x:c r="F15" s="54" t="str">
        <x:v>Ikke implementeret</x:v>
      </x:c>
      <x:c r="G15" s="30" t="str">
        <x:v>Ikke testet</x:v>
      </x:c>
      <x:c r="H15" s="30" t="str">
        <x:v>Som lejrleder vil jeg kunne tilknytte flere ledere til samme aktivitet, så ansvaret kan deles.</x:v>
      </x:c>
      <x:c r="I15" s="30" t="str">
        <x:v>Bevidst uden for den implementerede version.</x:v>
      </x:c>
    </x:row>
    <x:row r="17" ht="30" customHeight="1">
      <x:c r="A17" s="57" t="str">
        <x:v>Statusforklaring: 'Implementeret – afventer DoD' betyder, at funktionaliteten er lavet og grundtestet, men ikke endeligt godkendt.</x:v>
      </x:c>
      <x:c r="B17" s="57"/>
      <x:c r="C17" s="57"/>
      <x:c r="D17" s="57"/>
      <x:c r="E17" s="57"/>
      <x:c r="F17" s="57"/>
      <x:c r="G17" s="57"/>
      <x:c r="H17" s="57"/>
      <x:c r="I17" s="57"/>
    </x:row>
    <x:row r="18" ht="27" customHeight="1">
      <x:c r="A18" s="17" t="str">
        <x:v>De fulde acceptkriterier findes i Docs/User_Stories_og_Acceptkriterier.docx. Testmetode findes i Docs/Testplan.md.</x:v>
      </x:c>
      <x:c r="B18" s="17"/>
      <x:c r="C18" s="17"/>
      <x:c r="D18" s="17"/>
      <x:c r="E18" s="17"/>
      <x:c r="F18" s="17"/>
      <x:c r="G18" s="17"/>
      <x:c r="H18" s="17"/>
      <x:c r="I18" s="17"/>
    </x:row>
  </x:sheetData>
  <x:mergeCells>
    <x:mergeCell ref="A1:I2"/>
    <x:mergeCell ref="A3:I3"/>
    <x:mergeCell ref="A4:I4"/>
    <x:mergeCell ref="A17:I17"/>
    <x:mergeCell ref="A18:I18"/>
  </x:mergeCells>
  <x:dataValidations count="1">
    <x:dataValidation type="list" sqref="F7:F15">
      <x:formula1>"Implementeret – afventer DoD,Ikke implementeret"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42" hidden="0" customWidth="1"/>
    <x:col min="4" max="4" width="21" hidden="0" customWidth="1"/>
    <x:col min="5" max="5" width="65" hidden="0" customWidth="1"/>
    <x:col min="6" max="6" width="16" hidden="0" customWidth="1"/>
  </x:cols>
  <x:sheetData>
    <x:row r="1" ht="26" customHeight="1">
      <x:c r="A1" s="4" t="str">
        <x:v>TESTOVERSIGT  |  Funktionelle afprøvninger</x:v>
      </x:c>
      <x:c r="B1" s="4"/>
      <x:c r="C1" s="4"/>
      <x:c r="D1" s="4"/>
      <x:c r="E1" s="4"/>
      <x:c r="F1" s="4"/>
    </x:row>
    <x:row r="2" ht="26" customHeight="1">
      <x:c r="A2" s="4"/>
      <x:c r="B2" s="4"/>
      <x:c r="C2" s="4"/>
      <x:c r="D2" s="4"/>
      <x:c r="E2" s="4"/>
      <x:c r="F2" s="4"/>
    </x:row>
    <x:row r="3" ht="30" customHeight="1">
      <x:c r="A3" s="11" t="str">
        <x:v>14 tests · 12 bestået · 2 delvist bestået. Teststatus er historisk dokumentation, ikke en ny testkørsel den 27. oktober.</x:v>
      </x:c>
      <x:c r="B3" s="11"/>
      <x:c r="C3" s="11"/>
      <x:c r="D3" s="11"/>
      <x:c r="E3" s="11"/>
      <x:c r="F3" s="11"/>
    </x:row>
    <x:row r="6" ht="32" customHeight="1">
      <x:c r="A6" s="23" t="str">
        <x:v>ID</x:v>
      </x:c>
      <x:c r="B6" s="23" t="str">
        <x:v>Testhandling</x:v>
      </x:c>
      <x:c r="C6" s="23" t="str">
        <x:v>Forventet resultat</x:v>
      </x:c>
      <x:c r="D6" s="23" t="str">
        <x:v>Resultat</x:v>
      </x:c>
      <x:c r="E6" s="23" t="str">
        <x:v>Observation / hvad mangler?</x:v>
      </x:c>
      <x:c r="F6" s="23" t="str">
        <x:v>User story</x:v>
      </x:c>
    </x:row>
    <x:row r="7" ht="52" customHeight="1">
      <x:c r="A7" s="36" t="str">
        <x:v>T01</x:v>
      </x:c>
      <x:c r="B7" s="30" t="str">
        <x:v>Start applikation og vis aktivitetsoversigt</x:v>
      </x:c>
      <x:c r="C7" s="30" t="str">
        <x:v>Aktiviteter og pladser vises</x:v>
      </x:c>
      <x:c r="D7" s="62" t="str">
        <x:v>Bestået</x:v>
      </x:c>
      <x:c r="E7" s="30" t="str">
        <x:v>Appen startede med database og demo-data</x:v>
      </x:c>
      <x:c r="F7" s="30" t="str">
        <x:v>US-01</x:v>
      </x:c>
    </x:row>
    <x:row r="8" ht="52" customHeight="1">
      <x:c r="A8" s="37" t="str">
        <x:v>T02</x:v>
      </x:c>
      <x:c r="B8" s="34" t="str">
        <x:v>Log ind med forkert lederkode</x:v>
      </x:c>
      <x:c r="C8" s="34" t="str">
        <x:v>Login afvises</x:v>
      </x:c>
      <x:c r="D8" s="62" t="str">
        <x:v>Bestået</x:v>
      </x:c>
      <x:c r="E8" s="34" t="str">
        <x:v>Forkert adgangskode afvist</x:v>
      </x:c>
      <x:c r="F8" s="34" t="str">
        <x:v>US-02</x:v>
      </x:c>
    </x:row>
    <x:row r="9" ht="52" customHeight="1">
      <x:c r="A9" s="36" t="str">
        <x:v>T03</x:v>
      </x:c>
      <x:c r="B9" s="30" t="str">
        <x:v>Log ind med korrekt lederkode</x:v>
      </x:c>
      <x:c r="C9" s="30" t="str">
        <x:v>Lederpanel vises</x:v>
      </x:c>
      <x:c r="D9" s="62" t="str">
        <x:v>Bestået</x:v>
      </x:c>
      <x:c r="E9" s="30" t="str">
        <x:v>Login og lederpanel afprøvet</x:v>
      </x:c>
      <x:c r="F9" s="30" t="str">
        <x:v>US-02</x:v>
      </x:c>
    </x:row>
    <x:row r="10" ht="52" customHeight="1">
      <x:c r="A10" s="37" t="str">
        <x:v>T04</x:v>
      </x:c>
      <x:c r="B10" s="34" t="str">
        <x:v>Opret en aktivitet</x:v>
      </x:c>
      <x:c r="C10" s="34" t="str">
        <x:v>Aktivitet gemmes og vises</x:v>
      </x:c>
      <x:c r="D10" s="62" t="str">
        <x:v>Bestået</x:v>
      </x:c>
      <x:c r="E10" s="34" t="str">
        <x:v>Aktivitet oprettet</x:v>
      </x:c>
      <x:c r="F10" s="34" t="str">
        <x:v>US-03</x:v>
      </x:c>
    </x:row>
    <x:row r="11" ht="52" customHeight="1">
      <x:c r="A11" s="36" t="str">
        <x:v>T05</x:v>
      </x:c>
      <x:c r="B11" s="30" t="str">
        <x:v>Opret med sluttid før start</x:v>
      </x:c>
      <x:c r="C11" s="30" t="str">
        <x:v>Valideringsfejl vises</x:v>
      </x:c>
      <x:c r="D11" s="62" t="str">
        <x:v>Bestået</x:v>
      </x:c>
      <x:c r="E11" s="30" t="str">
        <x:v>Ugyldigt tidsinterval afvist</x:v>
      </x:c>
      <x:c r="F11" s="30" t="str">
        <x:v>US-03</x:v>
      </x:c>
    </x:row>
    <x:row r="12" ht="52" customHeight="1">
      <x:c r="A12" s="37" t="str">
        <x:v>T06</x:v>
      </x:c>
      <x:c r="B12" s="34" t="str">
        <x:v>Tilmeld aktivitet som spejder</x:v>
      </x:c>
      <x:c r="C12" s="34" t="str">
        <x:v>Tilmelding gemmes</x:v>
      </x:c>
      <x:c r="D12" s="62" t="str">
        <x:v>Bestået</x:v>
      </x:c>
      <x:c r="E12" s="34" t="str">
        <x:v>Tilmelding ses i Mine tilmeldinger</x:v>
      </x:c>
      <x:c r="F12" s="34" t="str">
        <x:v>US-04</x:v>
      </x:c>
    </x:row>
    <x:row r="13" ht="52" customHeight="1">
      <x:c r="A13" s="36" t="str">
        <x:v>T07</x:v>
      </x:c>
      <x:c r="B13" s="30" t="str">
        <x:v>Tilmeld samme aktivitet to gange</x:v>
      </x:c>
      <x:c r="C13" s="30" t="str">
        <x:v>Anden tilmelding afvises</x:v>
      </x:c>
      <x:c r="D13" s="50" t="str">
        <x:v>Delvist bestået</x:v>
      </x:c>
      <x:c r="E13" s="30" t="str">
        <x:v>DB afviste dublet (MySQL 1062); komplet app-flow ikke separat testet</x:v>
      </x:c>
      <x:c r="F13" s="30" t="str">
        <x:v>US-04</x:v>
      </x:c>
    </x:row>
    <x:row r="14" ht="52" customHeight="1">
      <x:c r="A14" s="37" t="str">
        <x:v>T08</x:v>
      </x:c>
      <x:c r="B14" s="34" t="str">
        <x:v>Tilmeld aktivitet under minimumsalder</x:v>
      </x:c>
      <x:c r="C14" s="34" t="str">
        <x:v>Tilmelding afvises</x:v>
      </x:c>
      <x:c r="D14" s="62" t="str">
        <x:v>Bestået</x:v>
      </x:c>
      <x:c r="E14" s="34" t="str">
        <x:v>Junior afvist ved aktivitet fra 12 år</x:v>
      </x:c>
      <x:c r="F14" s="34" t="str">
        <x:v>US-04</x:v>
      </x:c>
    </x:row>
    <x:row r="15" ht="52" customHeight="1">
      <x:c r="A15" s="36" t="str">
        <x:v>T09</x:v>
      </x:c>
      <x:c r="B15" s="30" t="str">
        <x:v>Tilmeld uden nødvendigt færdighedstegn</x:v>
      </x:c>
      <x:c r="C15" s="30" t="str">
        <x:v>Tilmelding afvises</x:v>
      </x:c>
      <x:c r="D15" s="62" t="str">
        <x:v>Bestået</x:v>
      </x:c>
      <x:c r="E15" s="30" t="str">
        <x:v>Manglende førstehjælpstegn afvist</x:v>
      </x:c>
      <x:c r="F15" s="30" t="str">
        <x:v>US-04</x:v>
      </x:c>
    </x:row>
    <x:row r="16" ht="52" customHeight="1">
      <x:c r="A16" s="37" t="str">
        <x:v>T10</x:v>
      </x:c>
      <x:c r="B16" s="34" t="str">
        <x:v>Se egne tilmeldinger</x:v>
      </x:c>
      <x:c r="C16" s="34" t="str">
        <x:v>Kun den aktuelle brugers tilmeldinger vises</x:v>
      </x:c>
      <x:c r="D16" s="50" t="str">
        <x:v>Delvist bestået</x:v>
      </x:c>
      <x:c r="E16" s="34" t="str">
        <x:v>Egen visning testet; sammenligning med anden bruger mangler</x:v>
      </x:c>
      <x:c r="F16" s="34" t="str">
        <x:v>US-05</x:v>
      </x:c>
    </x:row>
    <x:row r="17" ht="52" customHeight="1">
      <x:c r="A17" s="36" t="str">
        <x:v>T11</x:v>
      </x:c>
      <x:c r="B17" s="30" t="str">
        <x:v>Frameld og kontrollér kapacitet</x:v>
      </x:c>
      <x:c r="C17" s="30" t="str">
        <x:v>Plads frigives igen</x:v>
      </x:c>
      <x:c r="D17" s="62" t="str">
        <x:v>Bestået</x:v>
      </x:c>
      <x:c r="E17" s="30" t="str">
        <x:v>Framelding og ledig plads afprøvet</x:v>
      </x:c>
      <x:c r="F17" s="30" t="str">
        <x:v>US-06</x:v>
      </x:c>
    </x:row>
    <x:row r="18" ht="52" customHeight="1">
      <x:c r="A18" s="37" t="str">
        <x:v>T12</x:v>
      </x:c>
      <x:c r="B18" s="34" t="str">
        <x:v>Åbn /Leader/Create som spejder</x:v>
      </x:c>
      <x:c r="C18" s="34" t="str">
        <x:v>Adgang nægtes</x:v>
      </x:c>
      <x:c r="D18" s="62" t="str">
        <x:v>Bestået</x:v>
      </x:c>
      <x:c r="E18" s="34" t="str">
        <x:v>Rollebaseret adgangskontrol afprøvet</x:v>
      </x:c>
      <x:c r="F18" s="34" t="str">
        <x:v>US-02</x:v>
      </x:c>
    </x:row>
    <x:row r="19" ht="52" customHeight="1">
      <x:c r="A19" s="36" t="str">
        <x:v>T13</x:v>
      </x:c>
      <x:c r="B19" s="30" t="str">
        <x:v>Se deltagerliste som leder</x:v>
      </x:c>
      <x:c r="C19" s="30" t="str">
        <x:v>Deltagere vises</x:v>
      </x:c>
      <x:c r="D19" s="62" t="str">
        <x:v>Bestået</x:v>
      </x:c>
      <x:c r="E19" s="30" t="str">
        <x:v>Deltagerliste afprøvet</x:v>
      </x:c>
      <x:c r="F19" s="30" t="str">
        <x:v>US-08</x:v>
      </x:c>
    </x:row>
    <x:row r="20" ht="52" customHeight="1">
      <x:c r="A20" s="37" t="str">
        <x:v>T14</x:v>
      </x:c>
      <x:c r="B20" s="34" t="str">
        <x:v>Rediger og slet aktivitet</x:v>
      </x:c>
      <x:c r="C20" s="34" t="str">
        <x:v>Ændringer gemmes, aktivitet slettes</x:v>
      </x:c>
      <x:c r="D20" s="62" t="str">
        <x:v>Bestået</x:v>
      </x:c>
      <x:c r="E20" s="34" t="str">
        <x:v>Begge handlinger afprøvet</x:v>
      </x:c>
      <x:c r="F20" s="34" t="str">
        <x:v>US-07</x:v>
      </x:c>
    </x:row>
    <x:row r="22" ht="30" customHeight="1">
      <x:c r="A22" s="65" t="str">
        <x:v>Unit tests: 9/9 bestået ved tidligere kørsel. Genkør xUnit og de relevante manuelle tests inden aflevering.</x:v>
      </x:c>
      <x:c r="B22" s="65"/>
      <x:c r="C22" s="65"/>
      <x:c r="D22" s="65"/>
      <x:c r="E22" s="65"/>
      <x:c r="F22" s="65"/>
    </x:row>
  </x:sheetData>
  <x:mergeCells>
    <x:mergeCell ref="A1:F2"/>
    <x:mergeCell ref="A3:F3"/>
    <x:mergeCell ref="A22:F22"/>
  </x:mergeCells>
  <x:dataValidations count="1">
    <x:dataValidation type="list" sqref="D7:D20">
      <x:formula1>"Bestået,Delvist bestået,Ikke bestået,Ikke testet"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40" hidden="0" customWidth="1"/>
    <x:col min="3" max="3" width="30" hidden="0" customWidth="1"/>
    <x:col min="4" max="4" width="45" hidden="0" customWidth="1"/>
    <x:col min="5" max="5" width="62" hidden="0" customWidth="1"/>
  </x:cols>
  <x:sheetData>
    <x:row r="1" ht="26" customHeight="1">
      <x:c r="A1" s="4" t="str">
        <x:v>DEFINITION OF DONE  |  Kontrol og fejlrettelser</x:v>
      </x:c>
      <x:c r="B1" s="4"/>
      <x:c r="C1" s="4"/>
      <x:c r="D1" s="4"/>
      <x:c r="E1" s="4"/>
    </x:row>
    <x:row r="2" ht="26" customHeight="1">
      <x:c r="A2" s="4"/>
      <x:c r="B2" s="4"/>
      <x:c r="C2" s="4"/>
      <x:c r="D2" s="4"/>
      <x:c r="E2" s="4"/>
    </x:row>
    <x:row r="3" ht="30" customHeight="1">
      <x:c r="A3" s="11" t="str">
        <x:v>DoD er projektfælles. Et gennemført testforløb er ikke det samme som uafhængig Code Review-godkendelse.</x:v>
      </x:c>
      <x:c r="B3" s="11"/>
      <x:c r="C3" s="11"/>
      <x:c r="D3" s="11"/>
      <x:c r="E3" s="11"/>
    </x:row>
    <x:row r="6" ht="32" customHeight="1">
      <x:c r="A6" s="23" t="str">
        <x:v>Nr.</x:v>
      </x:c>
      <x:c r="B6" s="23" t="str">
        <x:v>DoD-krav</x:v>
      </x:c>
      <x:c r="C6" s="23" t="str">
        <x:v>Aktuel status</x:v>
      </x:c>
      <x:c r="D6" s="23" t="str">
        <x:v>Dokumentation</x:v>
      </x:c>
      <x:c r="E6" s="23" t="str">
        <x:v>Udækket / næste skridt</x:v>
      </x:c>
    </x:row>
    <x:row r="7" ht="51" customHeight="1">
      <x:c r="A7" s="36" t="str">
        <x:v>01</x:v>
      </x:c>
      <x:c r="B7" s="30" t="str">
        <x:v>Repository Pattern</x:v>
      </x:c>
      <x:c r="C7" s="30" t="str">
        <x:v>Implementeret</x:v>
      </x:c>
      <x:c r="D7" s="30" t="str">
        <x:v>Repositories/ og interfaces</x:v>
      </x:c>
      <x:c r="E7" s="30" t="str">
        <x:v>Uafhængig kodegennemgang afventer.</x:v>
      </x:c>
    </x:row>
    <x:row r="8" ht="51" customHeight="1">
      <x:c r="A8" s="37" t="str">
        <x:v>02</x:v>
      </x:c>
      <x:c r="B8" s="34" t="str">
        <x:v>Jakob Nielsens relevante heuristikker</x:v>
      </x:c>
      <x:c r="C8" s="34" t="str">
        <x:v>Gennemgået / dokumenteret</x:v>
      </x:c>
      <x:c r="D8" s="34" t="str">
        <x:v>Docs/UI_Heuristik_og_Gestalt.md</x:v>
      </x:c>
      <x:c r="E8" s="34" t="str">
        <x:v>Baseret på UI-gennemgang og brugertests.</x:v>
      </x:c>
    </x:row>
    <x:row r="9" ht="51" customHeight="1">
      <x:c r="A9" s="36" t="str">
        <x:v>03</x:v>
      </x:c>
      <x:c r="B9" s="30" t="str">
        <x:v>Gestaltlovene</x:v>
      </x:c>
      <x:c r="C9" s="30" t="str">
        <x:v>Gennemgået / dokumenteret</x:v>
      </x:c>
      <x:c r="D9" s="30" t="str">
        <x:v>Docs/UI_Heuristik_og_Gestalt.md</x:v>
      </x:c>
      <x:c r="E9" s="30" t="str">
        <x:v>Visuel opdeling og hierarki dokumenteret.</x:v>
      </x:c>
    </x:row>
    <x:row r="10" ht="51" customHeight="1">
      <x:c r="A10" s="37" t="str">
        <x:v>04</x:v>
      </x:c>
      <x:c r="B10" s="34" t="str">
        <x:v>Passende interfaces</x:v>
      </x:c>
      <x:c r="C10" s="34" t="str">
        <x:v>Implementeret</x:v>
      </x:c>
      <x:c r="D10" s="34" t="str">
        <x:v>Tre repository-interfaces og DI</x:v>
      </x:c>
      <x:c r="E10" s="34" t="str">
        <x:v>Kontrol ved code review anbefales.</x:v>
      </x:c>
    </x:row>
    <x:row r="11" ht="51" customHeight="1">
      <x:c r="A11" s="36" t="str">
        <x:v>05</x:v>
      </x:c>
      <x:c r="B11" s="30" t="str">
        <x:v>Klassediagram opdateret</x:v>
      </x:c>
      <x:c r="C11" s="30" t="str">
        <x:v>Opdateret – kodekontrol mangler</x:v>
      </x:c>
      <x:c r="D11" s="30" t="str">
        <x:v>Docs/Klassediagram.png og .dot</x:v>
      </x:c>
      <x:c r="E11" s="30" t="str">
        <x:v>UML-notation forbedret; sammenhold med endelig C#-kode.</x:v>
      </x:c>
    </x:row>
    <x:row r="12" ht="51" customHeight="1">
      <x:c r="A12" s="37" t="str">
        <x:v>06</x:v>
      </x:c>
      <x:c r="B12" s="34" t="str">
        <x:v>Godkendt Code Review</x:v>
      </x:c>
      <x:c r="C12" s="50" t="str">
        <x:v>Afventer godkendelse</x:v>
      </x:c>
      <x:c r="D12" s="34" t="str">
        <x:v>Docs/CodeReview.md</x:v>
      </x:c>
      <x:c r="E12" s="34" t="str">
        <x:v>Kræver en reel anden reviewers godkendelse.</x:v>
      </x:c>
    </x:row>
    <x:row r="13" ht="51" customHeight="1">
      <x:c r="A13" s="36" t="str">
        <x:v>07</x:v>
      </x:c>
      <x:c r="B13" s="30" t="str">
        <x:v>Versionsstyring og sporbarhed</x:v>
      </x:c>
      <x:c r="C13" s="30" t="str">
        <x:v>Gennemført</x:v>
      </x:c>
      <x:c r="D13" s="30" t="str">
        <x:v>GitHub main + Docs/Sporbarhed.md</x:v>
      </x:c>
      <x:c r="E13" s="30" t="str">
        <x:v>Sidste commit og push mangler efter de nye ændringer.</x:v>
      </x:c>
    </x:row>
    <x:row r="14" ht="51" customHeight="1">
      <x:c r="A14" s="37" t="str">
        <x:v>08</x:v>
      </x:c>
      <x:c r="B14" s="34" t="str">
        <x:v>Brugertest med 3 personer</x:v>
      </x:c>
      <x:c r="C14" s="34" t="str">
        <x:v>Gennemført (oplyst)</x:v>
      </x:c>
      <x:c r="D14" s="34" t="str">
        <x:v>Docs/Brugertest_3_personer.md</x:v>
      </x:c>
      <x:c r="E14" s="34" t="str">
        <x:v>Tre personer rapporteret; 24-timersændringen er ikke gentestet med alle tre.</x:v>
      </x:c>
    </x:row>
    <x:row r="15" ht="51" customHeight="1">
      <x:c r="A15" s="36" t="str">
        <x:v>09</x:v>
      </x:c>
      <x:c r="B15" s="30" t="str">
        <x:v>Unit tests implementeret</x:v>
      </x:c>
      <x:c r="C15" s="30" t="str">
        <x:v>9 af 9 bestået</x:v>
      </x:c>
      <x:c r="D15" s="30" t="str">
        <x:v>Tests/DeLyseroedeSpejdere.Tests/</x:v>
      </x:c>
      <x:c r="E15" s="30" t="str">
        <x:v>Kør igen efter sidste ændringer før aflevering.</x:v>
      </x:c>
    </x:row>
    <x:row r="17" ht="32" customHeight="1">
      <x:c r="A17" s="23" t="str">
        <x:v>ID</x:v>
      </x:c>
      <x:c r="B17" s="23" t="str">
        <x:v>Registreret fejl / observation</x:v>
      </x:c>
      <x:c r="C17" s="23" t="str">
        <x:v>Status</x:v>
      </x:c>
      <x:c r="D17" s="23" t="str">
        <x:v>Ændring eller forbehold</x:v>
      </x:c>
      <x:c r="E17" s="23" t="str"/>
    </x:row>
    <x:row r="18" ht="63" customHeight="1">
      <x:c r="A18" s="34" t="str">
        <x:v>CR-01</x:v>
      </x:c>
      <x:c r="B18" s="34" t="str">
        <x:v>Valgfrit færdighedstegn blev krævet</x:v>
      </x:c>
      <x:c r="C18" s="34" t="str">
        <x:v>Rettet og afprøvet</x:v>
      </x:c>
      <x:c r="D18" s="34" t="str">
        <x:v>ActivityInput.RequiredBadge er nullable</x:v>
      </x:c>
      <x:c r="E18" s="34" t="str"/>
    </x:row>
    <x:row r="19" ht="63" customHeight="1">
      <x:c r="A19" s="30" t="str">
        <x:v>CR-02</x:v>
      </x:c>
      <x:c r="B19" s="30" t="str">
        <x:v>Tilmeld-knap vist efter tilmelding</x:v>
      </x:c>
      <x:c r="C19" s="30" t="str">
        <x:v>Rettet og afprøvet</x:v>
      </x:c>
      <x:c r="D19" s="30" t="str">
        <x:v>Allerede tilmeldt vises i Activities/Index</x:v>
      </x:c>
      <x:c r="E19" s="30" t="str"/>
    </x:row>
    <x:row r="20" ht="63" customHeight="1">
      <x:c r="A20" s="34" t="str">
        <x:v>UX-01</x:v>
      </x:c>
      <x:c r="B20" s="34" t="str">
        <x:v>AM/PM gjorde oprettelse/redigering utydelig</x:v>
      </x:c>
      <x:c r="C20" s="34" t="str">
        <x:v>Rettet og lokalt afprøvet</x:v>
      </x:c>
      <x:c r="D20" s="34" t="str">
        <x:v>Separate dato- og 24-timersfelter i Create og Edit; ingen ny 3-personers gentest oplyst</x:v>
      </x:c>
      <x:c r="E20" s="34" t="str"/>
    </x:row>
    <x:row r="22" ht="40" customHeight="1">
      <x:c r="A22" s="65" t="str">
        <x:v>Konklusion: 8 funktioner implementeret, men endelig Done afventer uafhængig review, sidste kode-/diagramkontrol og endelig testkørsel.</x:v>
      </x:c>
      <x:c r="B22" s="65"/>
      <x:c r="C22" s="65"/>
      <x:c r="D22" s="65"/>
      <x:c r="E22" s="65"/>
    </x:row>
  </x:sheetData>
  <x:mergeCells>
    <x:mergeCell ref="A1:E2"/>
    <x:mergeCell ref="A3:E3"/>
    <x:mergeCell ref="A22:E22"/>
  </x:mergeCells>
  <x:pageMargins left="0.7" right="0.7" top="0.75" bottom="0.75" header="0.3" footer="0.3"/>
</x:worksheet>
</file>