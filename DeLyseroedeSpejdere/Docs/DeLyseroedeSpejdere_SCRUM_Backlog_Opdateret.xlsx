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be3c254f04a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cb7d0c696ade4173"/>
    <x:sheet xmlns:r="http://schemas.openxmlformats.org/officeDocument/2006/relationships" name="Teststatus" sheetId="2" r:id="Re9e157858f804319"/>
    <x:sheet xmlns:r="http://schemas.openxmlformats.org/officeDocument/2006/relationships" name="DoD og forbedringer" sheetId="3" r:id="Rf6ca438de9754e71"/>
    <x:sheet xmlns:r="http://schemas.openxmlformats.org/officeDocument/2006/relationships" name="Overblik" sheetId="4" r:id="R1e521026a94544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7"/>
      <x:color rgb="FFFFFFFF"/>
      <x:name val="Carlito"/>
    </x:font>
    <x:font>
      <x:sz val="10"/>
      <x:color rgb="FF142C3C"/>
      <x:name val="Carlito"/>
    </x:font>
    <x:font>
      <x:b/>
      <x:sz val="11"/>
      <x:color rgb="FFFFFFFF"/>
      <x:name val="Carlito"/>
    </x:font>
    <x:font>
      <x:sz val="11"/>
      <x:color rgb="FF142C3C"/>
      <x:name val="Carlito"/>
    </x:font>
    <x:font>
      <x:b/>
      <x:sz val="16"/>
      <x:color rgb="FFFFFFFF"/>
      <x:name val="Carlito"/>
    </x:font>
    <x:font>
      <x:b/>
      <x:sz val="18"/>
      <x:color rgb="FFFFFFFF"/>
      <x:name val="Carlito"/>
    </x:font>
    <x:font>
      <x:b/>
      <x:sz val="14"/>
      <x:color rgb="FF146C8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42C3C"/>
      </x:patternFill>
    </x:fill>
    <x:fill>
      <x:patternFill patternType="solid">
        <x:fgColor rgb="FFE9F2F5"/>
      </x:patternFill>
    </x:fill>
    <x:fill>
      <x:patternFill patternType="solid">
        <x:fgColor rgb="FF146C83"/>
      </x:patternFill>
    </x:fill>
    <x:fill>
      <x:patternFill patternType="solid">
        <x:fgColor rgb="FFDDF3E5"/>
      </x:patternFill>
    </x:fill>
    <x:fill>
      <x:patternFill patternType="solid">
        <x:fgColor rgb="FFEFF2F5"/>
      </x:patternFill>
    </x:fill>
    <x:fill>
      <x:patternFill patternType="solid">
        <x:fgColor rgb="FFFFF1D3"/>
      </x:patternFill>
    </x:fill>
    <x:fill>
      <x:patternFill patternType="solid">
        <x:fgColor rgb="FFF5F8FA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786b3574c14e10" /><Relationship Type="http://schemas.openxmlformats.org/officeDocument/2006/relationships/theme" Target="/xl/theme/theme1.xml" Id="R8c3c92fbdb474b74" /><Relationship Type="http://schemas.openxmlformats.org/officeDocument/2006/relationships/sharedStrings" Target="/xl/sharedStrings.xml" Id="R7472b07fcba043e1" /><Relationship Type="http://schemas.openxmlformats.org/officeDocument/2006/relationships/worksheet" Target="/xl/worksheets/sheet1.xml" Id="Rcb7d0c696ade4173" /><Relationship Type="http://schemas.openxmlformats.org/officeDocument/2006/relationships/worksheet" Target="/xl/worksheets/sheet2.xml" Id="Re9e157858f804319" /><Relationship Type="http://schemas.openxmlformats.org/officeDocument/2006/relationships/worksheet" Target="/xl/worksheets/sheet3.xml" Id="Rf6ca438de9754e71" /><Relationship Type="http://schemas.openxmlformats.org/officeDocument/2006/relationships/worksheet" Target="/xl/worksheets/sheet4.xml" Id="R1e521026a94544be" /></Relationships>
</file>

<file path=xl/tables/table1.xml><?xml version="1.0" encoding="utf-8"?>
<x:table xmlns:x="http://schemas.openxmlformats.org/spreadsheetml/2006/main" id="1" name="ProductBacklogTable" displayName="ProductBacklogTable" ref="A6:H15" headerRowCount="1" totalsRowCount="0" totalsRowShown="0">
  <x:tableColumns count="8">
    <x:tableColumn id="1" name="ID"/>
    <x:tableColumn id="2" name="Titel"/>
    <x:tableColumn id="3" name="Rolle"/>
    <x:tableColumn id="4" name="Story Points"/>
    <x:tableColumn id="5" name="Sprint"/>
    <x:tableColumn id="6" name="Status"/>
    <x:tableColumn id="7" name="Beskrivelse"/>
    <x:tableColumn id="8" name="Test/afklar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StatusTable" displayName="TestStatusTable" ref="A6:E20" headerRowCount="1" totalsRowCount="0" totalsRowShown="0">
  <x:tableColumns count="5">
    <x:tableColumn id="1" name="Test-ID"/>
    <x:tableColumn id="2" name="Handling"/>
    <x:tableColumn id="3" name="Forventet resultat"/>
    <x:tableColumn id="4" name="Status"/>
    <x:tableColumn id="5" name="Dokumen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oDStatusTable" displayName="DoDStatusTable" ref="A5:D14" headerRowCount="1" totalsRowCount="0" totalsRowShown="0">
  <x:tableColumns count="4">
    <x:tableColumn id="1" name="DoD"/>
    <x:tableColumn id="2" name="Krav"/>
    <x:tableColumn id="3" name="Status pr. 26.10"/>
    <x:tableColumn id="4" name="Dokumentation/bemærkni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ssueLogTable" displayName="IssueLogTable" ref="A17:D20" headerRowCount="1" totalsRowCount="0" totalsRowShown="0">
  <x:tableColumns count="4">
    <x:tableColumn id="1" name="ID"/>
    <x:tableColumn id="2" name="Observation / fejl"/>
    <x:tableColumn id="3" name="Status"/>
    <x:tableColumn id="4" name="Næste handl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075a3ca0af46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69159a8f9c41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9a628d963294601" /><Relationship Type="http://schemas.openxmlformats.org/officeDocument/2006/relationships/table" Target="/xl/tables/table4.xml" Id="R238357972b694578" /></Relationships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1" hidden="0" customWidth="1"/>
    <x:col min="2" max="2" width="27" hidden="0" customWidth="1"/>
    <x:col min="3" max="3" width="11" hidden="0" customWidth="1"/>
    <x:col min="4" max="4" width="14" hidden="0" customWidth="1"/>
    <x:col min="5" max="5" width="23" hidden="0" customWidth="1"/>
    <x:col min="6" max="6" width="31" hidden="0" customWidth="1"/>
    <x:col min="7" max="7" width="72" hidden="0" customWidth="1"/>
    <x:col min="8" max="8" width="36" hidden="0" customWidth="1"/>
  </x:cols>
  <x:sheetData>
    <x:row r="1" ht="24" customHeight="1">
      <x:c r="A1" s="4" t="str">
        <x:v>DE LYSERØDE SPEJDERE  |  PRODUCT BACKLOG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5" customHeight="1">
      <x:c r="A3" s="9" t="str">
        <x:v>Status 26.10.2026 • Sprintfordelingen viser planlagt/udvidet scope • 'Done' afventer den fulde Definition of Done</x:v>
      </x:c>
      <x:c r="B3" s="9"/>
      <x:c r="C3" s="9"/>
      <x:c r="D3" s="9"/>
      <x:c r="E3" s="9"/>
      <x:c r="F3" s="9"/>
      <x:c r="G3" s="9"/>
      <x:c r="H3" s="9"/>
    </x:row>
    <x:row r="6" ht="28" customHeight="1">
      <x:c r="A6" s="14" t="str">
        <x:v>ID</x:v>
      </x:c>
      <x:c r="B6" s="14" t="str">
        <x:v>Titel</x:v>
      </x:c>
      <x:c r="C6" s="14" t="str">
        <x:v>Rolle</x:v>
      </x:c>
      <x:c r="D6" s="14" t="str">
        <x:v>Story Points</x:v>
      </x:c>
      <x:c r="E6" s="14" t="str">
        <x:v>Sprint</x:v>
      </x:c>
      <x:c r="F6" s="14" t="str">
        <x:v>Status</x:v>
      </x:c>
      <x:c r="G6" s="14" t="str">
        <x:v>Beskrivelse</x:v>
      </x:c>
      <x:c r="H6" s="14" t="str">
        <x:v>Test/afklaring</x:v>
      </x:c>
    </x:row>
    <x:row r="7" ht="49" customHeight="1">
      <x:c r="A7" s="18" t="str">
        <x:v>US-01</x:v>
      </x:c>
      <x:c r="B7" s="18" t="str">
        <x:v>Aktivitetsoversigt</x:v>
      </x:c>
      <x:c r="C7" s="18" t="str">
        <x:v>Scout</x:v>
      </x:c>
      <x:c r="D7" s="20" t="n">
        <x:v>2</x:v>
      </x:c>
      <x:c r="E7" s="18" t="str">
        <x:v>Sprint 1</x:v>
      </x:c>
      <x:c r="F7" s="22" t="str">
        <x:v>Implementeret – afventer DoD</x:v>
      </x:c>
      <x:c r="G7" s="18" t="str">
        <x:v>Som spejder vil jeg kunne se lejrens aktiviteter, så jeg kan vælge, hvad jeg gerne vil deltage i.</x:v>
      </x:c>
      <x:c r="H7" s="18" t="str">
        <x:v>T01; aktivitetsoversigt</x:v>
      </x:c>
    </x:row>
    <x:row r="8" ht="49" customHeight="1">
      <x:c r="A8" s="18" t="str">
        <x:v>US-02</x:v>
      </x:c>
      <x:c r="B8" s="18" t="str">
        <x:v>Login og roller</x:v>
      </x:c>
      <x:c r="C8" s="18" t="str">
        <x:v>User</x:v>
      </x:c>
      <x:c r="D8" s="20" t="n">
        <x:v>5</x:v>
      </x:c>
      <x:c r="E8" s="18" t="str">
        <x:v>Sprint 1</x:v>
      </x:c>
      <x:c r="F8" s="22" t="str">
        <x:v>Implementeret – afventer DoD</x:v>
      </x:c>
      <x:c r="G8" s="18" t="str">
        <x:v>Som bruger vil jeg kunne logge ind som spejder eller leder, så jeg kun får adgang til mine egne funktioner.</x:v>
      </x:c>
      <x:c r="H8" s="18" t="str">
        <x:v>T02, T03 og T12; roller</x:v>
      </x:c>
    </x:row>
    <x:row r="9" ht="49" customHeight="1">
      <x:c r="A9" s="18" t="str">
        <x:v>US-03</x:v>
      </x:c>
      <x:c r="B9" s="18" t="str">
        <x:v>Opret aktivitet</x:v>
      </x:c>
      <x:c r="C9" s="18" t="str">
        <x:v>Leader</x:v>
      </x:c>
      <x:c r="D9" s="20" t="n">
        <x:v>3</x:v>
      </x:c>
      <x:c r="E9" s="18" t="str">
        <x:v>Sprint 1</x:v>
      </x:c>
      <x:c r="F9" s="22" t="str">
        <x:v>Implementeret – afventer DoD</x:v>
      </x:c>
      <x:c r="G9" s="18" t="str">
        <x:v>Som leder vil jeg kunne oprette aktiviteter, så spejdere kan tilmelde sig dem.</x:v>
      </x:c>
      <x:c r="H9" s="18" t="str">
        <x:v>T04 og T05; oprettelse/validering</x:v>
      </x:c>
    </x:row>
    <x:row r="10" ht="49" customHeight="1">
      <x:c r="A10" s="18" t="str">
        <x:v>US-04</x:v>
      </x:c>
      <x:c r="B10" s="18" t="str">
        <x:v>Tilmelding</x:v>
      </x:c>
      <x:c r="C10" s="18" t="str">
        <x:v>Scout</x:v>
      </x:c>
      <x:c r="D10" s="20" t="n">
        <x:v>5</x:v>
      </x:c>
      <x:c r="E10" s="18" t="str">
        <x:v>Sprint 2</x:v>
      </x:c>
      <x:c r="F10" s="22" t="str">
        <x:v>Implementeret – afventer DoD</x:v>
      </x:c>
      <x:c r="G10" s="18" t="str">
        <x:v>Som spejder vil jeg kunne tilmelde mig en aktivitet, så jeg kan deltage i den.</x:v>
      </x:c>
      <x:c r="H10" s="18" t="str">
        <x:v>T06; T07 kun delvist testet</x:v>
      </x:c>
    </x:row>
    <x:row r="11" ht="49" customHeight="1">
      <x:c r="A11" s="18" t="str">
        <x:v>US-05</x:v>
      </x:c>
      <x:c r="B11" s="18" t="str">
        <x:v>Mine tilmeldinger</x:v>
      </x:c>
      <x:c r="C11" s="18" t="str">
        <x:v>Scout</x:v>
      </x:c>
      <x:c r="D11" s="20" t="n">
        <x:v>3</x:v>
      </x:c>
      <x:c r="E11" s="18" t="str">
        <x:v>Sprint 2</x:v>
      </x:c>
      <x:c r="F11" s="22" t="str">
        <x:v>Implementeret – afventer DoD</x:v>
      </x:c>
      <x:c r="G11" s="18" t="str">
        <x:v>Som spejder vil jeg kunne se mine tilmeldinger, så jeg har overblik over lejrens program.</x:v>
      </x:c>
      <x:c r="H11" s="18" t="str">
        <x:v>T10; isolering mellem brugere mangler</x:v>
      </x:c>
    </x:row>
    <x:row r="12" ht="49" customHeight="1">
      <x:c r="A12" s="18" t="str">
        <x:v>US-06</x:v>
      </x:c>
      <x:c r="B12" s="18" t="str">
        <x:v>Framelding</x:v>
      </x:c>
      <x:c r="C12" s="18" t="str">
        <x:v>Scout</x:v>
      </x:c>
      <x:c r="D12" s="20" t="n">
        <x:v>2</x:v>
      </x:c>
      <x:c r="E12" s="18" t="str">
        <x:v>Sprint 2 (reserve)</x:v>
      </x:c>
      <x:c r="F12" s="22" t="str">
        <x:v>Implementeret – afventer DoD</x:v>
      </x:c>
      <x:c r="G12" s="18" t="str">
        <x:v>Som spejder vil jeg kunne framelde mig en aktivitet, så min plads frigives til andre.</x:v>
      </x:c>
      <x:c r="H12" s="18" t="str">
        <x:v>T11; plads frigivet</x:v>
      </x:c>
    </x:row>
    <x:row r="13" ht="49" customHeight="1">
      <x:c r="A13" s="18" t="str">
        <x:v>US-07</x:v>
      </x:c>
      <x:c r="B13" s="18" t="str">
        <x:v>Ændre og slette aktiviteter</x:v>
      </x:c>
      <x:c r="C13" s="18" t="str">
        <x:v>Leader</x:v>
      </x:c>
      <x:c r="D13" s="20" t="n">
        <x:v>3</x:v>
      </x:c>
      <x:c r="E13" s="18" t="str">
        <x:v>Sprint 2 (ekstra)</x:v>
      </x:c>
      <x:c r="F13" s="22" t="str">
        <x:v>Implementeret – afventer DoD</x:v>
      </x:c>
      <x:c r="G13" s="18" t="str">
        <x:v>Som leder vil jeg kunne ændre og nedlægge aktiviteter, så programmet forbliver aktuelt.</x:v>
      </x:c>
      <x:c r="H13" s="18" t="str">
        <x:v>T14; redigering og sletning</x:v>
      </x:c>
    </x:row>
    <x:row r="14" ht="49" customHeight="1">
      <x:c r="A14" s="18" t="str">
        <x:v>US-08</x:v>
      </x:c>
      <x:c r="B14" s="18" t="str">
        <x:v>Deltagerliste</x:v>
      </x:c>
      <x:c r="C14" s="18" t="str">
        <x:v>Leader</x:v>
      </x:c>
      <x:c r="D14" s="20" t="n">
        <x:v>3</x:v>
      </x:c>
      <x:c r="E14" s="18" t="str">
        <x:v>Sprint 2 (ekstra)</x:v>
      </x:c>
      <x:c r="F14" s="22" t="str">
        <x:v>Implementeret – afventer DoD</x:v>
      </x:c>
      <x:c r="G14" s="18" t="str">
        <x:v>Som leder vil jeg kunne se deltagere til en aktivitet, så jeg kan planlægge afviklingen.</x:v>
      </x:c>
      <x:c r="H14" s="18" t="str">
        <x:v>T13; deltageroversigt</x:v>
      </x:c>
    </x:row>
    <x:row r="15" ht="49" customHeight="1">
      <x:c r="A15" s="18" t="str">
        <x:v>US-09</x:v>
      </x:c>
      <x:c r="B15" s="18" t="str">
        <x:v>Flere ledere pr. aktivitet</x:v>
      </x:c>
      <x:c r="C15" s="18" t="str">
        <x:v>Leader</x:v>
      </x:c>
      <x:c r="D15" s="20" t="n">
        <x:v>5</x:v>
      </x:c>
      <x:c r="E15" s="18" t="str">
        <x:v>Product Backlog</x:v>
      </x:c>
      <x:c r="F15" s="24" t="str">
        <x:v>Ikke implementeret</x:v>
      </x:c>
      <x:c r="G15" s="18" t="str">
        <x:v>Som lejrleder vil jeg kunne tilknytte flere ledere til samme aktivitet, så ansvaret kan deles.</x:v>
      </x:c>
      <x:c r="H15" s="18" t="str">
        <x:v>Ikke udviklet i denne version</x:v>
      </x:c>
    </x:row>
    <x:row r="17" ht="26" customHeight="1">
      <x:c r="A17" s="27" t="str">
        <x:v>Bemærk: US-01–US-08 er funktionelt implementeret, men uafhængig Code Review-godkendelse og endelig DoD-kontrol mangler.</x:v>
      </x:c>
      <x:c r="B17" s="27"/>
      <x:c r="C17" s="27"/>
      <x:c r="D17" s="27"/>
      <x:c r="E17" s="27"/>
      <x:c r="F17" s="27"/>
      <x:c r="G17" s="27"/>
      <x:c r="H17" s="27"/>
    </x:row>
  </x:sheetData>
  <x:mergeCells>
    <x:mergeCell ref="A1:H2"/>
    <x:mergeCell ref="A3:H3"/>
    <x:mergeCell ref="A17:H17"/>
  </x:mergeCells>
  <x:dataValidations count="1">
    <x:dataValidation type="list" sqref="F7:F15">
      <x:formula1>"Implementeret – afventer DoD,I gang,To Do,Ikke implementeret,Done"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075a3ca0af46fc"/>
  </x:tableParts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39" hidden="0" customWidth="1"/>
    <x:col min="3" max="3" width="37" hidden="0" customWidth="1"/>
    <x:col min="4" max="4" width="23" hidden="0" customWidth="1"/>
    <x:col min="5" max="5" width="38" hidden="0" customWidth="1"/>
  </x:cols>
  <x:sheetData>
    <x:row r="1" ht="24" customHeight="1">
      <x:c r="A1" s="3" t="str">
        <x:v>FUNKTIONEL TESTSTATUS</x:v>
      </x:c>
      <x:c r="B1" s="3"/>
      <x:c r="C1" s="3"/>
      <x:c r="D1" s="3"/>
      <x:c r="E1" s="3"/>
    </x:row>
    <x:row r="2" ht="24" customHeight="1">
      <x:c r="A2" s="3"/>
      <x:c r="B2" s="3"/>
      <x:c r="C2" s="3"/>
      <x:c r="D2" s="3"/>
      <x:c r="E2" s="3"/>
    </x:row>
    <x:row r="3" ht="26" customHeight="1">
      <x:c r="A3" s="30" t="str">
        <x:v>Testet 26.10.2026 • Unit tests: 9/9 bestået • Se Docs/Testplan.md for fuld metode og observationer</x:v>
      </x:c>
      <x:c r="B3" s="30"/>
      <x:c r="C3" s="30"/>
      <x:c r="D3" s="30"/>
      <x:c r="E3" s="30"/>
    </x:row>
    <x:row r="6" ht="27" customHeight="1">
      <x:c r="A6" s="13" t="str">
        <x:v>Test-ID</x:v>
      </x:c>
      <x:c r="B6" s="13" t="str">
        <x:v>Handling</x:v>
      </x:c>
      <x:c r="C6" s="13" t="str">
        <x:v>Forventet resultat</x:v>
      </x:c>
      <x:c r="D6" s="13" t="str">
        <x:v>Status</x:v>
      </x:c>
      <x:c r="E6" s="13" t="str">
        <x:v>Dokumentation</x:v>
      </x:c>
    </x:row>
    <x:row r="7" ht="34" customHeight="1">
      <x:c r="A7" s="18" t="str">
        <x:v>T01</x:v>
      </x:c>
      <x:c r="B7" s="18" t="str">
        <x:v>Start applikation og vis aktiviteter</x:v>
      </x:c>
      <x:c r="C7" s="18" t="str">
        <x:v>Aktiviteter vises</x:v>
      </x:c>
      <x:c r="D7" s="22" t="str">
        <x:v>Bestået</x:v>
      </x:c>
      <x:c r="E7" s="18" t="str">
        <x:v>Firefox / MySQL</x:v>
      </x:c>
    </x:row>
    <x:row r="8" ht="34" customHeight="1">
      <x:c r="A8" s="18" t="str">
        <x:v>T02</x:v>
      </x:c>
      <x:c r="B8" s="18" t="str">
        <x:v>Forkert leder-adgangskode</x:v>
      </x:c>
      <x:c r="C8" s="18" t="str">
        <x:v>Login afvises</x:v>
      </x:c>
      <x:c r="D8" s="22" t="str">
        <x:v>Bestået</x:v>
      </x:c>
      <x:c r="E8" s="18" t="str">
        <x:v>Fejlbesked vist</x:v>
      </x:c>
    </x:row>
    <x:row r="9" ht="34" customHeight="1">
      <x:c r="A9" s="18" t="str">
        <x:v>T03</x:v>
      </x:c>
      <x:c r="B9" s="18" t="str">
        <x:v>Korrekt leder-login</x:v>
      </x:c>
      <x:c r="C9" s="18" t="str">
        <x:v>Lederpanel vises</x:v>
      </x:c>
      <x:c r="D9" s="22" t="str">
        <x:v>Bestået</x:v>
      </x:c>
      <x:c r="E9" s="18" t="str">
        <x:v>Lederpanel</x:v>
      </x:c>
    </x:row>
    <x:row r="10" ht="34" customHeight="1">
      <x:c r="A10" s="18" t="str">
        <x:v>T04</x:v>
      </x:c>
      <x:c r="B10" s="18" t="str">
        <x:v>Opret aktivitet</x:v>
      </x:c>
      <x:c r="C10" s="18" t="str">
        <x:v>Aktivitet gemmes</x:v>
      </x:c>
      <x:c r="D10" s="22" t="str">
        <x:v>Bestået</x:v>
      </x:c>
      <x:c r="E10" s="18" t="str">
        <x:v>Orienteringsløb</x:v>
      </x:c>
    </x:row>
    <x:row r="11" ht="34" customHeight="1">
      <x:c r="A11" s="18" t="str">
        <x:v>T05</x:v>
      </x:c>
      <x:c r="B11" s="18" t="str">
        <x:v>Sluttid før starttid</x:v>
      </x:c>
      <x:c r="C11" s="18" t="str">
        <x:v>Valideringsfejl</x:v>
      </x:c>
      <x:c r="D11" s="22" t="str">
        <x:v>Bestået</x:v>
      </x:c>
      <x:c r="E11" s="18" t="str">
        <x:v>Fejlbesked vist</x:v>
      </x:c>
    </x:row>
    <x:row r="12" ht="34" customHeight="1">
      <x:c r="A12" s="18" t="str">
        <x:v>T06</x:v>
      </x:c>
      <x:c r="B12" s="18" t="str">
        <x:v>Tilmeld som spejder</x:v>
      </x:c>
      <x:c r="C12" s="18" t="str">
        <x:v>Tilmelding gemmes</x:v>
      </x:c>
      <x:c r="D12" s="22" t="str">
        <x:v>Bestået</x:v>
      </x:c>
      <x:c r="E12" s="18" t="str">
        <x:v>Mine tilmeldinger</x:v>
      </x:c>
    </x:row>
    <x:row r="13" ht="34" customHeight="1">
      <x:c r="A13" s="18" t="str">
        <x:v>T07</x:v>
      </x:c>
      <x:c r="B13" s="18" t="str">
        <x:v>Forhindr dobbelt tilmelding</x:v>
      </x:c>
      <x:c r="C13" s="18" t="str">
        <x:v>Anden tilmelding afvises</x:v>
      </x:c>
      <x:c r="D13" s="32" t="str">
        <x:v>Delvist bestået</x:v>
      </x:c>
      <x:c r="E13" s="18" t="str">
        <x:v>MySQL 1062; C#-forløb mangler</x:v>
      </x:c>
    </x:row>
    <x:row r="14" ht="34" customHeight="1">
      <x:c r="A14" s="18" t="str">
        <x:v>T08</x:v>
      </x:c>
      <x:c r="B14" s="18" t="str">
        <x:v>Alderskrav</x:v>
      </x:c>
      <x:c r="C14" s="18" t="str">
        <x:v>Underaldrig afvises</x:v>
      </x:c>
      <x:c r="D14" s="22" t="str">
        <x:v>Bestået</x:v>
      </x:c>
      <x:c r="E14" s="18" t="str">
        <x:v>Sofie: min. 12 år</x:v>
      </x:c>
    </x:row>
    <x:row r="15" ht="34" customHeight="1">
      <x:c r="A15" s="18" t="str">
        <x:v>T09</x:v>
      </x:c>
      <x:c r="B15" s="18" t="str">
        <x:v>Krav om færdighedstegn</x:v>
      </x:c>
      <x:c r="C15" s="18" t="str">
        <x:v>Manglende tegn afvises</x:v>
      </x:c>
      <x:c r="D15" s="22" t="str">
        <x:v>Bestået</x:v>
      </x:c>
      <x:c r="E15" s="18" t="str">
        <x:v>Sofie: Førstehjælp</x:v>
      </x:c>
    </x:row>
    <x:row r="16" ht="34" customHeight="1">
      <x:c r="A16" s="18" t="str">
        <x:v>T10</x:v>
      </x:c>
      <x:c r="B16" s="18" t="str">
        <x:v>Mine tilmeldinger</x:v>
      </x:c>
      <x:c r="C16" s="18" t="str">
        <x:v>Kun egne vises</x:v>
      </x:c>
      <x:c r="D16" s="32" t="str">
        <x:v>Delvist bestået</x:v>
      </x:c>
      <x:c r="E16" s="18" t="str">
        <x:v>Visning testet; brugerisolation mangler</x:v>
      </x:c>
    </x:row>
    <x:row r="17" ht="34" customHeight="1">
      <x:c r="A17" s="18" t="str">
        <x:v>T11</x:v>
      </x:c>
      <x:c r="B17" s="18" t="str">
        <x:v>Frameld og frigiv plads</x:v>
      </x:c>
      <x:c r="C17" s="18" t="str">
        <x:v>Plads frigives</x:v>
      </x:c>
      <x:c r="D17" s="22" t="str">
        <x:v>Bestået</x:v>
      </x:c>
      <x:c r="E17" s="18" t="str">
        <x:v>8 af 8 ledige</x:v>
      </x:c>
    </x:row>
    <x:row r="18" ht="34" customHeight="1">
      <x:c r="A18" s="18" t="str">
        <x:v>T12</x:v>
      </x:c>
      <x:c r="B18" s="18" t="str">
        <x:v>Spejder åbner /Leader/Create</x:v>
      </x:c>
      <x:c r="C18" s="18" t="str">
        <x:v>Adgang nægtes</x:v>
      </x:c>
      <x:c r="D18" s="22" t="str">
        <x:v>Bestået</x:v>
      </x:c>
      <x:c r="E18" s="18" t="str">
        <x:v>Ingen adgang</x:v>
      </x:c>
    </x:row>
    <x:row r="19" ht="34" customHeight="1">
      <x:c r="A19" s="18" t="str">
        <x:v>T13</x:v>
      </x:c>
      <x:c r="B19" s="18" t="str">
        <x:v>Leder ser deltagere</x:v>
      </x:c>
      <x:c r="C19" s="18" t="str">
        <x:v>Deltagerliste vises</x:v>
      </x:c>
      <x:c r="D19" s="22" t="str">
        <x:v>Bestået</x:v>
      </x:c>
      <x:c r="E19" s="18" t="str">
        <x:v>Spejder Emil</x:v>
      </x:c>
    </x:row>
    <x:row r="20" ht="34" customHeight="1">
      <x:c r="A20" s="18" t="str">
        <x:v>T14</x:v>
      </x:c>
      <x:c r="B20" s="18" t="str">
        <x:v>Rediger og slet aktivitet</x:v>
      </x:c>
      <x:c r="C20" s="18" t="str">
        <x:v>Data ændres/slettes</x:v>
      </x:c>
      <x:c r="D20" s="22" t="str">
        <x:v>Bestået</x:v>
      </x:c>
      <x:c r="E20" s="18" t="str">
        <x:v>Orienteringsløb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f669159a8f9c419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51" hidden="0" customWidth="1"/>
    <x:col min="3" max="3" width="30" hidden="0" customWidth="1"/>
    <x:col min="4" max="4" width="51" hidden="0" customWidth="1"/>
  </x:cols>
  <x:sheetData>
    <x:row r="1" ht="24" customHeight="1">
      <x:c r="A1" s="34" t="str">
        <x:v>KVALITET, DOD OG FORBEDRINGER</x:v>
      </x:c>
      <x:c r="B1" s="34"/>
      <x:c r="C1" s="34"/>
      <x:c r="D1" s="34"/>
    </x:row>
    <x:row r="2" ht="24" customHeight="1">
      <x:c r="A2" s="34"/>
      <x:c r="B2" s="34"/>
      <x:c r="C2" s="34"/>
      <x:c r="D2" s="34"/>
    </x:row>
    <x:row r="5" ht="28" customHeight="1">
      <x:c r="A5" s="13" t="str">
        <x:v>DoD</x:v>
      </x:c>
      <x:c r="B5" s="13" t="str">
        <x:v>Krav</x:v>
      </x:c>
      <x:c r="C5" s="13" t="str">
        <x:v>Status pr. 26.10</x:v>
      </x:c>
      <x:c r="D5" s="13" t="str">
        <x:v>Dokumentation/bemærkning</x:v>
      </x:c>
    </x:row>
    <x:row r="6" ht="32" customHeight="1">
      <x:c r="A6" s="18" t="str">
        <x:v>01</x:v>
      </x:c>
      <x:c r="B6" s="18" t="str">
        <x:v>Repository Pattern</x:v>
      </x:c>
      <x:c r="C6" s="18" t="str">
        <x:v>Implementeret</x:v>
      </x:c>
      <x:c r="D6" s="18" t="str">
        <x:v>Repositories og interfaces</x:v>
      </x:c>
    </x:row>
    <x:row r="7" ht="32" customHeight="1">
      <x:c r="A7" s="18" t="str">
        <x:v>02</x:v>
      </x:c>
      <x:c r="B7" s="18" t="str">
        <x:v>Nielsens heuristikker</x:v>
      </x:c>
      <x:c r="C7" s="18" t="str">
        <x:v>Gennemgået</x:v>
      </x:c>
      <x:c r="D7" s="18" t="str">
        <x:v>Docs/UI_Heuristik_og_Gestalt.md</x:v>
      </x:c>
    </x:row>
    <x:row r="8" ht="32" customHeight="1">
      <x:c r="A8" s="18" t="str">
        <x:v>03</x:v>
      </x:c>
      <x:c r="B8" s="18" t="str">
        <x:v>Gestaltlove og visuelt hierarki</x:v>
      </x:c>
      <x:c r="C8" s="18" t="str">
        <x:v>Gennemgået</x:v>
      </x:c>
      <x:c r="D8" s="18" t="str">
        <x:v>Docs/UI_Heuristik_og_Gestalt.md</x:v>
      </x:c>
    </x:row>
    <x:row r="9" ht="32" customHeight="1">
      <x:c r="A9" s="18" t="str">
        <x:v>04</x:v>
      </x:c>
      <x:c r="B9" s="18" t="str">
        <x:v>Passende interfaces</x:v>
      </x:c>
      <x:c r="C9" s="18" t="str">
        <x:v>Implementeret</x:v>
      </x:c>
      <x:c r="D9" s="18" t="str">
        <x:v>Tre repository-interfaces</x:v>
      </x:c>
    </x:row>
    <x:row r="10" ht="32" customHeight="1">
      <x:c r="A10" s="18" t="str">
        <x:v>05</x:v>
      </x:c>
      <x:c r="B10" s="18" t="str">
        <x:v>Opdateret klassediagram</x:v>
      </x:c>
      <x:c r="C10" s="32" t="str">
        <x:v>Afventer endelig kontrol</x:v>
      </x:c>
      <x:c r="D10" s="18" t="str">
        <x:v>Sammenhold med seneste kode</x:v>
      </x:c>
    </x:row>
    <x:row r="11" ht="32" customHeight="1">
      <x:c r="A11" s="18" t="str">
        <x:v>06</x:v>
      </x:c>
      <x:c r="B11" s="18" t="str">
        <x:v>Code Review godkendt</x:v>
      </x:c>
      <x:c r="C11" s="32" t="str">
        <x:v>Afventer godkendelse</x:v>
      </x:c>
      <x:c r="D11" s="18" t="str">
        <x:v>Individuel gennemgang foreligger</x:v>
      </x:c>
    </x:row>
    <x:row r="12" ht="32" customHeight="1">
      <x:c r="A12" s="18" t="str">
        <x:v>07</x:v>
      </x:c>
      <x:c r="B12" s="18" t="str">
        <x:v>Versionsstyring og sporbarhed</x:v>
      </x:c>
      <x:c r="C12" s="18" t="str">
        <x:v>Gennemført</x:v>
      </x:c>
      <x:c r="D12" s="18" t="str">
        <x:v>GitHub main; Docs/Sporbarhed.md</x:v>
      </x:c>
    </x:row>
    <x:row r="13" ht="32" customHeight="1">
      <x:c r="A13" s="18" t="str">
        <x:v>08</x:v>
      </x:c>
      <x:c r="B13" s="18" t="str">
        <x:v>Brugertest med 3 personer</x:v>
      </x:c>
      <x:c r="C13" s="18" t="str">
        <x:v>Gennemført (oplyst)</x:v>
      </x:c>
      <x:c r="D13" s="18" t="str">
        <x:v>Fælles observation: AM/PM besværligt</x:v>
      </x:c>
    </x:row>
    <x:row r="14" ht="32" customHeight="1">
      <x:c r="A14" s="18" t="str">
        <x:v>09</x:v>
      </x:c>
      <x:c r="B14" s="18" t="str">
        <x:v>Unit tests</x:v>
      </x:c>
      <x:c r="C14" s="18" t="str">
        <x:v>9/9 bestået</x:v>
      </x:c>
      <x:c r="D14" s="18" t="str">
        <x:v>xUnit i Test Explorer</x:v>
      </x:c>
    </x:row>
    <x:row r="17" ht="28" customHeight="1">
      <x:c r="A17" s="13" t="str">
        <x:v>ID</x:v>
      </x:c>
      <x:c r="B17" s="13" t="str">
        <x:v>Observation / fejl</x:v>
      </x:c>
      <x:c r="C17" s="13" t="str">
        <x:v>Status</x:v>
      </x:c>
      <x:c r="D17" s="13" t="str">
        <x:v>Næste handling</x:v>
      </x:c>
    </x:row>
    <x:row r="18" ht="38" customHeight="1">
      <x:c r="A18" s="18" t="str">
        <x:v>CR-01</x:v>
      </x:c>
      <x:c r="B18" s="18" t="str">
        <x:v>Valgfrit færdighedstegn var påkrævet</x:v>
      </x:c>
      <x:c r="C18" s="18" t="str">
        <x:v>Rettet og testet</x:v>
      </x:c>
      <x:c r="D18" s="18" t="str">
        <x:v>Ingen</x:v>
      </x:c>
    </x:row>
    <x:row r="19" ht="38" customHeight="1">
      <x:c r="A19" s="18" t="str">
        <x:v>CR-02</x:v>
      </x:c>
      <x:c r="B19" s="18" t="str">
        <x:v>Tilmeld mig-knap forblev synlig</x:v>
      </x:c>
      <x:c r="C19" s="18" t="str">
        <x:v>Rettet og testet</x:v>
      </x:c>
      <x:c r="D19" s="18" t="str">
        <x:v>Ingen</x:v>
      </x:c>
    </x:row>
    <x:row r="20" ht="38" customHeight="1">
      <x:c r="A20" s="18" t="str">
        <x:v>UX-01</x:v>
      </x:c>
      <x:c r="B20" s="18" t="str">
        <x:v>AM/PM-dato/tid gav problemer for tre testpersoner</x:v>
      </x:c>
      <x:c r="C20" s="32" t="str">
        <x:v>Åben</x:v>
      </x:c>
      <x:c r="D20" s="18" t="str">
        <x:v>Undersøg 24-timers dato/tidsinput og gentest</x:v>
      </x:c>
    </x:row>
  </x:sheetData>
  <x:mergeCells>
    <x:mergeCell ref="A1:D2"/>
  </x:mergeCells>
  <x:pageMargins left="0.7" right="0.7" top="0.75" bottom="0.75" header="0.3" footer="0.3"/>
  <x:tableParts count="2">
    <x:tablePart xmlns:r="http://schemas.openxmlformats.org/officeDocument/2006/relationships" r:id="Rd9a628d963294601"/>
    <x:tablePart xmlns:r="http://schemas.openxmlformats.org/officeDocument/2006/relationships" r:id="R238357972b69457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0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</x:cols>
  <x:sheetData>
    <x:row r="1" ht="25" customHeight="1">
      <x:c r="A1" s="36" t="str">
        <x:v>DE LYSERØDE SPEJDERE | STATUSOVERBLIK</x:v>
      </x:c>
      <x:c r="B1" s="36"/>
      <x:c r="C1" s="36"/>
      <x:c r="D1" s="36"/>
      <x:c r="E1" s="36"/>
      <x:c r="F1" s="36"/>
    </x:row>
    <x:row r="2" ht="25" customHeight="1">
      <x:c r="A2" s="36"/>
      <x:c r="B2" s="36"/>
      <x:c r="C2" s="36"/>
      <x:c r="D2" s="36"/>
      <x:c r="E2" s="36"/>
      <x:c r="F2" s="36"/>
    </x:row>
    <x:row r="3" ht="27" customHeight="1">
      <x:c r="A3" s="30" t="str">
        <x:v>Projektperiode: 19.–30. oktober 2026   ·   Status opdateret: 26. oktober 2026</x:v>
      </x:c>
      <x:c r="B3" s="30"/>
      <x:c r="C3" s="30"/>
      <x:c r="D3" s="30"/>
      <x:c r="E3" s="30"/>
      <x:c r="F3" s="30"/>
    </x:row>
    <x:row r="5" ht="30" customHeight="1">
      <x:c r="A5" s="13" t="str">
        <x:v>Nøgletal</x:v>
      </x:c>
      <x:c r="B5" s="13" t="str">
        <x:v>Antal</x:v>
      </x:c>
    </x:row>
    <x:row r="6" ht="30" customHeight="1">
      <x:c r="A6" t="str">
        <x:v>User stories</x:v>
      </x:c>
      <x:c r="B6" s="39" t="n">
        <x:f>COUNTA('Product Backlog'!A7:A15)</x:f>
        <x:v>9</x:v>
      </x:c>
    </x:row>
    <x:row r="7" ht="30" customHeight="1">
      <x:c r="A7" t="str">
        <x:v>Implementerede stories</x:v>
      </x:c>
      <x:c r="B7" s="39" t="n">
        <x:f>COUNTIF('Product Backlog'!F7:F15,"Implementeret – afventer DoD")</x:f>
        <x:v>8</x:v>
      </x:c>
    </x:row>
    <x:row r="8" ht="30" customHeight="1">
      <x:c r="A8" t="str">
        <x:v>Backlog, ikke implementeret</x:v>
      </x:c>
      <x:c r="B8" s="39" t="n">
        <x:f>COUNTIF('Product Backlog'!F7:F15,"Ikke implementeret")</x:f>
        <x:v>1</x:v>
      </x:c>
    </x:row>
    <x:row r="9" ht="30" customHeight="1">
      <x:c r="A9" t="str">
        <x:v>Story points i alt</x:v>
      </x:c>
      <x:c r="B9" s="39" t="n">
        <x:f>SUM('Product Backlog'!D7:D15)</x:f>
        <x:v>31</x:v>
      </x:c>
    </x:row>
    <x:row r="10" ht="30" customHeight="1">
      <x:c r="A10" t="str">
        <x:v>SP – implementeret</x:v>
      </x:c>
      <x:c r="B10" s="39" t="n">
        <x:f>SUMIF('Product Backlog'!F7:F15,"Implementeret – afventer DoD",'Product Backlog'!D7:D15)</x:f>
        <x:v>26</x:v>
      </x:c>
    </x:row>
    <x:row r="11" ht="30" customHeight="1">
      <x:c r="A11" t="str">
        <x:v>Funktionelle tests bestået</x:v>
      </x:c>
      <x:c r="B11" s="39" t="n">
        <x:f>COUNTIF(Teststatus!D7:D20,"Bestået")</x:f>
        <x:v>12</x:v>
      </x:c>
    </x:row>
    <x:row r="12" ht="30" customHeight="1">
      <x:c r="A12" t="str">
        <x:v>Funktionelle tests delvist bestået</x:v>
      </x:c>
      <x:c r="B12" s="39" t="n">
        <x:f>COUNTIF(Teststatus!D7:D20,"Delvist bestået")</x:f>
        <x:v>2</x:v>
      </x:c>
    </x:row>
    <x:row r="15" ht="29" customHeight="1">
      <x:c r="A15" s="13" t="str">
        <x:v>Hvad mangler før endelig Done?</x:v>
      </x:c>
      <x:c r="B15" s="13"/>
      <x:c r="C15" s="13"/>
      <x:c r="D15" s="13"/>
      <x:c r="E15" s="13"/>
      <x:c r="F15" s="13"/>
    </x:row>
    <x:row r="16">
      <x:c r="A16" s="44" t="str">
        <x:v>US-01 til US-08 er implementeret og grundtestet. Endelig DoD kræver bl.a. uafhængig Code Review-godkendelse og endelig sammenligning af klassediagram med koden. T07 og T10 har supplerende testbehov.</x:v>
      </x:c>
      <x:c r="B16" s="44"/>
      <x:c r="C16" s="44"/>
      <x:c r="D16" s="44"/>
      <x:c r="E16" s="44"/>
      <x:c r="F16" s="44"/>
    </x:row>
    <x:row r="17">
      <x:c r="A17" s="44"/>
      <x:c r="B17" s="44"/>
      <x:c r="C17" s="44"/>
      <x:c r="D17" s="44"/>
      <x:c r="E17" s="44"/>
      <x:c r="F17" s="44"/>
    </x:row>
    <x:row r="18">
      <x:c r="A18" s="44"/>
      <x:c r="B18" s="44"/>
      <x:c r="C18" s="44"/>
      <x:c r="D18" s="44"/>
      <x:c r="E18" s="44"/>
      <x:c r="F18" s="44"/>
    </x:row>
    <x:row r="20" ht="36" customHeight="1">
      <x:c r="A20" s="48" t="str">
        <x:v>Registreret forbedring: UX-01 · AM/PM-format ved dato/tidsinput · Afventer rettelse og gentest</x:v>
      </x:c>
      <x:c r="B20" s="48"/>
      <x:c r="C20" s="48"/>
      <x:c r="D20" s="48"/>
      <x:c r="E20" s="48"/>
      <x:c r="F20" s="48"/>
    </x:row>
  </x:sheetData>
  <x:mergeCells>
    <x:mergeCell ref="A1:F2"/>
    <x:mergeCell ref="A3:F3"/>
    <x:mergeCell ref="A15:F15"/>
    <x:mergeCell ref="A16:F18"/>
    <x:mergeCell ref="A20:F20"/>
  </x:mergeCells>
  <x:pageMargins left="0.7" right="0.7" top="0.75" bottom="0.75" header="0.3" footer="0.3"/>
</x:worksheet>
</file>